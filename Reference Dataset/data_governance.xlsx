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Workshop--Pentaho-Data-Catalog\Reference Dataset\"/>
    </mc:Choice>
  </mc:AlternateContent>
  <xr:revisionPtr revIDLastSave="0" documentId="13_ncr:1_{BD1AEA94-53C8-4060-8401-2FC4CF6E2475}" xr6:coauthVersionLast="47" xr6:coauthVersionMax="47" xr10:uidLastSave="{00000000-0000-0000-0000-000000000000}"/>
  <bookViews>
    <workbookView xWindow="61560" yWindow="3825" windowWidth="38700" windowHeight="15345" activeTab="2" xr2:uid="{397ED9AB-B007-4453-98B5-F244799BF6C8}"/>
  </bookViews>
  <sheets>
    <sheet name="Sheet6" sheetId="6" r:id="rId1"/>
    <sheet name="Database_Inventory" sheetId="1" r:id="rId2"/>
    <sheet name="Risk_Assessment" sheetId="2" r:id="rId3"/>
    <sheet name="Business_Context" sheetId="3" r:id="rId4"/>
    <sheet name="Compliance_Matrix" sheetId="4" r:id="rId5"/>
    <sheet name="Reference_List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5" i="1"/>
  <c r="B4" i="1"/>
  <c r="B3" i="1"/>
  <c r="B47" i="2"/>
  <c r="B46" i="2"/>
  <c r="B45" i="2"/>
  <c r="B44" i="2"/>
  <c r="B43" i="2"/>
  <c r="D34" i="2"/>
  <c r="B34" i="2"/>
  <c r="F22" i="2"/>
  <c r="G22" i="2" s="1"/>
  <c r="F21" i="2"/>
  <c r="G21" i="2" s="1"/>
  <c r="F20" i="2"/>
  <c r="G20" i="2" s="1"/>
  <c r="F19" i="2"/>
  <c r="G19" i="2" s="1"/>
</calcChain>
</file>

<file path=xl/sharedStrings.xml><?xml version="1.0" encoding="utf-8"?>
<sst xmlns="http://schemas.openxmlformats.org/spreadsheetml/2006/main" count="468" uniqueCount="198">
  <si>
    <t>schema_name</t>
  </si>
  <si>
    <t>table_name</t>
  </si>
  <si>
    <t>column_count</t>
  </si>
  <si>
    <t>required_columns</t>
  </si>
  <si>
    <t>estimated_rows</t>
  </si>
  <si>
    <t>size_mb</t>
  </si>
  <si>
    <t>create_date</t>
  </si>
  <si>
    <t>modify_date</t>
  </si>
  <si>
    <t>business_purpose</t>
  </si>
  <si>
    <t>data_sensitivity</t>
  </si>
  <si>
    <t>risk_level</t>
  </si>
  <si>
    <t>regulatory_scope</t>
  </si>
  <si>
    <t>access_frequency</t>
  </si>
  <si>
    <t>data_owner</t>
  </si>
  <si>
    <t>data_steward</t>
  </si>
  <si>
    <t>retention_policy</t>
  </si>
  <si>
    <t>access_controls</t>
  </si>
  <si>
    <t>compliance_notes</t>
  </si>
  <si>
    <t>last_reviewed</t>
  </si>
  <si>
    <t>Data_Sensitivity</t>
  </si>
  <si>
    <t>HIGH</t>
  </si>
  <si>
    <t>MEDIUM</t>
  </si>
  <si>
    <t>LOW</t>
  </si>
  <si>
    <t>Risk_Level</t>
  </si>
  <si>
    <t>Access_Frequency</t>
  </si>
  <si>
    <t>Daily</t>
  </si>
  <si>
    <t>Weekly</t>
  </si>
  <si>
    <t>Monthly</t>
  </si>
  <si>
    <t>Quarterly</t>
  </si>
  <si>
    <t>Annually</t>
  </si>
  <si>
    <t>Ad-hoc</t>
  </si>
  <si>
    <t>Regulatory_Scope</t>
  </si>
  <si>
    <t>GDPR</t>
  </si>
  <si>
    <t>CCPA</t>
  </si>
  <si>
    <t>SOX</t>
  </si>
  <si>
    <t>HIPAA</t>
  </si>
  <si>
    <t>PCI-DSS</t>
  </si>
  <si>
    <t>Financial Services</t>
  </si>
  <si>
    <t>Employment Law</t>
  </si>
  <si>
    <t>None</t>
  </si>
  <si>
    <t>Multiple</t>
  </si>
  <si>
    <t>DATA GOVERNANCE RISK ASSESSMENT FRAMEWORK</t>
  </si>
  <si>
    <t>Risk Dimension</t>
  </si>
  <si>
    <t>Weight (%)</t>
  </si>
  <si>
    <t>Description</t>
  </si>
  <si>
    <t>Scoring Criteria</t>
  </si>
  <si>
    <t>Example Tables</t>
  </si>
  <si>
    <t>Business Criticality</t>
  </si>
  <si>
    <t>Impact if data unavailable</t>
  </si>
  <si>
    <t>See detailed criteria below</t>
  </si>
  <si>
    <t>Sales.Orders, Person.Person</t>
  </si>
  <si>
    <t>Data Sensitivity</t>
  </si>
  <si>
    <t>Regulatory Risk</t>
  </si>
  <si>
    <t>Access Risk</t>
  </si>
  <si>
    <t>Type of data stored</t>
  </si>
  <si>
    <t>Compliance requirements</t>
  </si>
  <si>
    <t>Who can access data</t>
  </si>
  <si>
    <t>Person.EmailAddress, HR.Employee</t>
  </si>
  <si>
    <t>Sales.Customer, HR.PayHistory</t>
  </si>
  <si>
    <t>Production.Product, dbo.Curreny</t>
  </si>
  <si>
    <t>5 - Critical: Business cannot operate without this data (Sales, Customer data)</t>
  </si>
  <si>
    <t>4 - High: Significant business disruption (Inventory, Orders)</t>
  </si>
  <si>
    <t>3 - Medium: Moderate business impact (Product catalog, Vendors)</t>
  </si>
  <si>
    <t>2 - Low: Minimal business impact (Historical data, Reports)</t>
  </si>
  <si>
    <t>1 - Minimal: No significant business impact (Reference data, Logs)</t>
  </si>
  <si>
    <t>BUSINESS CRITICALITY SCORING:</t>
  </si>
  <si>
    <t>RISK CALCULATION MATRIX:</t>
  </si>
  <si>
    <t>Schema/Table</t>
  </si>
  <si>
    <t>Business Criticality (1-5)</t>
  </si>
  <si>
    <t>Data Sensitivity (1-5)</t>
  </si>
  <si>
    <t>Regulatory Risk (1-5)</t>
  </si>
  <si>
    <t>Access Risk (1-5)</t>
  </si>
  <si>
    <t>Weighted Score</t>
  </si>
  <si>
    <t>Risk Level</t>
  </si>
  <si>
    <t>Person.Person</t>
  </si>
  <si>
    <t>Sales.SalesOrderHeader</t>
  </si>
  <si>
    <t>Production.Product</t>
  </si>
  <si>
    <t>dbo.Currency</t>
  </si>
  <si>
    <t>RISK LEVEL DEFINITIONS:</t>
  </si>
  <si>
    <t>CRITICAL (4.5-5.0)</t>
  </si>
  <si>
    <t>Immediate attention required, business-critical data</t>
  </si>
  <si>
    <t>HIGH (3.5-4.4)</t>
  </si>
  <si>
    <t>MEDIUM (2.5-3.4)</t>
  </si>
  <si>
    <t>LOW (1.5-2.4)</t>
  </si>
  <si>
    <t>MINIMAL (1.0-1.4)</t>
  </si>
  <si>
    <t>High priority for governance controls and monitoring</t>
  </si>
  <si>
    <t>Standard governance practices apply</t>
  </si>
  <si>
    <t>Basic controls sufficient</t>
  </si>
  <si>
    <t>Minimal governance oversight needed</t>
  </si>
  <si>
    <t>How to Use During Workshop:</t>
  </si>
  <si>
    <r>
      <t>1. Security team rates each table</t>
    </r>
    <r>
      <rPr>
        <sz val="11"/>
        <color theme="1"/>
        <rFont val="Aptos Narrow"/>
        <family val="2"/>
        <scheme val="minor"/>
      </rPr>
      <t xml:space="preserve"> using columns B-E (1-5 scale)</t>
    </r>
  </si>
  <si>
    <r>
      <t>2. Excel automatically calculates</t>
    </r>
    <r>
      <rPr>
        <sz val="11"/>
        <color theme="1"/>
        <rFont val="Aptos Narrow"/>
        <family val="2"/>
        <scheme val="minor"/>
      </rPr>
      <t xml:space="preserve"> the weighted score (column F)</t>
    </r>
  </si>
  <si>
    <r>
      <t>3. Risk level appears automatically</t>
    </r>
    <r>
      <rPr>
        <sz val="11"/>
        <color theme="1"/>
        <rFont val="Aptos Narrow"/>
        <family val="2"/>
        <scheme val="minor"/>
      </rPr>
      <t xml:space="preserve"> in column G</t>
    </r>
  </si>
  <si>
    <r>
      <t>4. Use this to prioritize</t>
    </r>
    <r>
      <rPr>
        <sz val="11"/>
        <color theme="1"/>
        <rFont val="Aptos Narrow"/>
        <family val="2"/>
        <scheme val="minor"/>
      </rPr>
      <t xml:space="preserve"> which tables need immediate governance attention</t>
    </r>
  </si>
  <si>
    <r>
      <t xml:space="preserve">This worksheet becomes your </t>
    </r>
    <r>
      <rPr>
        <b/>
        <sz val="11"/>
        <color theme="1"/>
        <rFont val="Aptos Narrow"/>
        <family val="2"/>
        <scheme val="minor"/>
      </rPr>
      <t>risk calculation engine</t>
    </r>
    <r>
      <rPr>
        <sz val="11"/>
        <color theme="1"/>
        <rFont val="Aptos Narrow"/>
        <family val="2"/>
        <scheme val="minor"/>
      </rPr>
      <t xml:space="preserve"> - just input the scores and it automatically determines priority levels for your data governance efforts.</t>
    </r>
  </si>
  <si>
    <t>DYNAMIC RISK ASSESSMENT:</t>
  </si>
  <si>
    <t>(Link to Database_Inventory sheet)</t>
  </si>
  <si>
    <t>Table Name</t>
  </si>
  <si>
    <t>Risk Score</t>
  </si>
  <si>
    <t>RISK SUMMARY STATISTICS:</t>
  </si>
  <si>
    <t>Total Tables Assessed:</t>
  </si>
  <si>
    <t>Critical Risk Tables:</t>
  </si>
  <si>
    <t>High Risk Tables:</t>
  </si>
  <si>
    <t>Average Risk Score:</t>
  </si>
  <si>
    <t>Highest Risk Table:</t>
  </si>
  <si>
    <t>dbo</t>
  </si>
  <si>
    <t>DatabaseLog</t>
  </si>
  <si>
    <t>System/Reference Data</t>
  </si>
  <si>
    <t>LOW - Reference Data</t>
  </si>
  <si>
    <t>Standard Corporate Governance</t>
  </si>
  <si>
    <t>AWBuildVersion</t>
  </si>
  <si>
    <t>ErrorLog</t>
  </si>
  <si>
    <t>HumanResources</t>
  </si>
  <si>
    <t>EmployeePayHistory</t>
  </si>
  <si>
    <t>Employee Lifecycle Management</t>
  </si>
  <si>
    <t>HIGH - Personal Data</t>
  </si>
  <si>
    <t>Employment Law, PII Protection</t>
  </si>
  <si>
    <t>EmployeeDepartmentHistory</t>
  </si>
  <si>
    <t>Employee</t>
  </si>
  <si>
    <t>Department</t>
  </si>
  <si>
    <t>JobCandidate</t>
  </si>
  <si>
    <t>Shift</t>
  </si>
  <si>
    <t>Person</t>
  </si>
  <si>
    <t>BusinessEntity</t>
  </si>
  <si>
    <t>Customer and Employee Identity Management</t>
  </si>
  <si>
    <t>GDPR, CCPA, PII Protection</t>
  </si>
  <si>
    <t>EmailAddress</t>
  </si>
  <si>
    <t>Password</t>
  </si>
  <si>
    <t>PersonPhone</t>
  </si>
  <si>
    <t>Address</t>
  </si>
  <si>
    <t>BusinessEntityAddress</t>
  </si>
  <si>
    <t>BusinessEntityContact</t>
  </si>
  <si>
    <t>CountryRegion</t>
  </si>
  <si>
    <t>StateProvince</t>
  </si>
  <si>
    <t>ContactType</t>
  </si>
  <si>
    <t>AddressType</t>
  </si>
  <si>
    <t>PhoneNumberType</t>
  </si>
  <si>
    <t>Production</t>
  </si>
  <si>
    <t>TransactionHistory</t>
  </si>
  <si>
    <t>Manufacturing and Inventory Management</t>
  </si>
  <si>
    <t>MEDIUM - Operational Data</t>
  </si>
  <si>
    <t>TransactionHistoryArchive</t>
  </si>
  <si>
    <t>WorkOrder</t>
  </si>
  <si>
    <t>WorkOrderRouting</t>
  </si>
  <si>
    <t>BillOfMaterials</t>
  </si>
  <si>
    <t>ProductInventory</t>
  </si>
  <si>
    <t>ProductDescription</t>
  </si>
  <si>
    <t>ProductModelProductDescriptionCulture</t>
  </si>
  <si>
    <t>Product</t>
  </si>
  <si>
    <t>ProductProductPhoto</t>
  </si>
  <si>
    <t>ProductCostHistory</t>
  </si>
  <si>
    <t>ProductListPriceHistory</t>
  </si>
  <si>
    <t>ProductModel</t>
  </si>
  <si>
    <t>ProductPhoto</t>
  </si>
  <si>
    <t>UnitMeasure</t>
  </si>
  <si>
    <t>ProductSubcategory</t>
  </si>
  <si>
    <t>ProductDocument</t>
  </si>
  <si>
    <t>ScrapReason</t>
  </si>
  <si>
    <t>Location</t>
  </si>
  <si>
    <t>Document</t>
  </si>
  <si>
    <t>Culture</t>
  </si>
  <si>
    <t>ProductModelIllustration</t>
  </si>
  <si>
    <t>Illustration</t>
  </si>
  <si>
    <t>ProductCategory</t>
  </si>
  <si>
    <t>ProductReview</t>
  </si>
  <si>
    <t>Purchasing</t>
  </si>
  <si>
    <t>PurchaseOrderDetail</t>
  </si>
  <si>
    <t>Vendor Relations and Procurement</t>
  </si>
  <si>
    <t>PurchaseOrderHeader</t>
  </si>
  <si>
    <t>ProductVendor</t>
  </si>
  <si>
    <t>Vendor</t>
  </si>
  <si>
    <t>ShipMethod</t>
  </si>
  <si>
    <t>Sales</t>
  </si>
  <si>
    <t>SalesOrderDetail</t>
  </si>
  <si>
    <t>Revenue Operations and Customer Transactions</t>
  </si>
  <si>
    <t>MEDIUM - Business Sensitive</t>
  </si>
  <si>
    <t>Financial Reporting, SOX</t>
  </si>
  <si>
    <t>SalesOrderHeader</t>
  </si>
  <si>
    <t>SalesOrderHeaderSalesReason</t>
  </si>
  <si>
    <t>Customer</t>
  </si>
  <si>
    <t>CreditCard</t>
  </si>
  <si>
    <t>PersonCreditCard</t>
  </si>
  <si>
    <t>CurrencyRate</t>
  </si>
  <si>
    <t>Store</t>
  </si>
  <si>
    <t>SpecialOfferProduct</t>
  </si>
  <si>
    <t>SalesPersonQuotaHistory</t>
  </si>
  <si>
    <t>CountryRegionCurrency</t>
  </si>
  <si>
    <t>Currency</t>
  </si>
  <si>
    <t>SalesTaxRate</t>
  </si>
  <si>
    <t>SalesPerson</t>
  </si>
  <si>
    <t>SalesTerritoryHistory</t>
  </si>
  <si>
    <t>SpecialOffer</t>
  </si>
  <si>
    <t>SalesReason</t>
  </si>
  <si>
    <t>SalesTerritory</t>
  </si>
  <si>
    <t>ShoppingCartItem</t>
  </si>
  <si>
    <t>SUMMARY</t>
  </si>
  <si>
    <t>Tables with Personal Data:</t>
  </si>
  <si>
    <t>Last Updated: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</si>
</sst>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465926084170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1" fillId="2" borderId="0" xfId="0" applyFont="1" applyFill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4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1"/>
      </font>
      <fill>
        <patternFill>
          <bgColor rgb="FFFF999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36556-243D-4406-A548-191656E4F80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B6EA9-BC94-4009-9D9D-C23499016337}">
  <dimension ref="A1:S79"/>
  <sheetViews>
    <sheetView workbookViewId="0">
      <selection activeCell="C6" sqref="C6"/>
    </sheetView>
  </sheetViews>
  <sheetFormatPr defaultRowHeight="15" x14ac:dyDescent="0.25"/>
  <cols>
    <col min="1" max="1" width="24.85546875" bestFit="1" customWidth="1"/>
    <col min="2" max="2" width="37.42578125" bestFit="1" customWidth="1"/>
    <col min="3" max="3" width="13.7109375" bestFit="1" customWidth="1"/>
    <col min="4" max="4" width="17.28515625" bestFit="1" customWidth="1"/>
    <col min="5" max="5" width="15" bestFit="1" customWidth="1"/>
    <col min="7" max="7" width="11.140625" bestFit="1" customWidth="1"/>
    <col min="8" max="8" width="11.7109375" bestFit="1" customWidth="1"/>
    <col min="9" max="9" width="17.42578125" bestFit="1" customWidth="1"/>
    <col min="10" max="10" width="26.5703125" bestFit="1" customWidth="1"/>
    <col min="11" max="11" width="9.5703125" bestFit="1" customWidth="1"/>
    <col min="12" max="12" width="16.140625" bestFit="1" customWidth="1"/>
    <col min="13" max="13" width="16.7109375" bestFit="1" customWidth="1"/>
    <col min="14" max="14" width="11.28515625" bestFit="1" customWidth="1"/>
    <col min="15" max="15" width="12.85546875" bestFit="1" customWidth="1"/>
    <col min="16" max="16" width="15.140625" bestFit="1" customWidth="1"/>
    <col min="17" max="17" width="15.42578125" bestFit="1" customWidth="1"/>
    <col min="18" max="18" width="29.7109375" bestFit="1" customWidth="1"/>
    <col min="19" max="19" width="12.85546875" bestFit="1" customWidth="1"/>
  </cols>
  <sheetData>
    <row r="1" spans="1:19" s="1" customFormat="1" x14ac:dyDescent="0.25">
      <c r="S1" s="1" t="s">
        <v>18</v>
      </c>
    </row>
    <row r="2" spans="1:19" x14ac:dyDescent="0.25">
      <c r="A2" t="s">
        <v>195</v>
      </c>
    </row>
    <row r="3" spans="1:19" x14ac:dyDescent="0.25">
      <c r="A3" t="s">
        <v>102</v>
      </c>
      <c r="B3">
        <f>COUNTIF(K:K,"5 - Critical")+COUNTIF(K:K,"4 - High")</f>
        <v>0</v>
      </c>
    </row>
    <row r="4" spans="1:19" x14ac:dyDescent="0.25">
      <c r="A4" t="s">
        <v>196</v>
      </c>
      <c r="B4">
        <f>COUNTIF(J:J,"HIGH - Personal Data")</f>
        <v>19</v>
      </c>
    </row>
    <row r="5" spans="1:19" x14ac:dyDescent="0.25">
      <c r="A5" t="s">
        <v>103</v>
      </c>
      <c r="B5" t="e">
        <f>AVERAGE(K9:K79)</f>
        <v>#DIV/0!</v>
      </c>
    </row>
    <row r="6" spans="1:19" x14ac:dyDescent="0.25">
      <c r="A6" t="s">
        <v>197</v>
      </c>
      <c r="B6" s="10">
        <f ca="1">TODAY()</f>
        <v>45867</v>
      </c>
    </row>
    <row r="8" spans="1:19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Q8" s="1" t="s">
        <v>16</v>
      </c>
      <c r="R8" s="1" t="s">
        <v>17</v>
      </c>
    </row>
    <row r="9" spans="1:19" x14ac:dyDescent="0.25">
      <c r="A9" t="s">
        <v>105</v>
      </c>
      <c r="B9" t="s">
        <v>106</v>
      </c>
      <c r="C9">
        <v>24</v>
      </c>
      <c r="D9">
        <v>18</v>
      </c>
      <c r="E9">
        <v>1596</v>
      </c>
      <c r="F9">
        <v>51.13</v>
      </c>
      <c r="G9" s="9">
        <v>45054.505199502317</v>
      </c>
      <c r="H9" s="9">
        <v>45054.505244675929</v>
      </c>
      <c r="I9" t="s">
        <v>107</v>
      </c>
      <c r="J9" t="s">
        <v>108</v>
      </c>
      <c r="R9" t="s">
        <v>109</v>
      </c>
    </row>
    <row r="10" spans="1:19" x14ac:dyDescent="0.25">
      <c r="A10" t="s">
        <v>105</v>
      </c>
      <c r="B10" t="s">
        <v>110</v>
      </c>
      <c r="C10">
        <v>4</v>
      </c>
      <c r="D10">
        <v>4</v>
      </c>
      <c r="E10">
        <v>1</v>
      </c>
      <c r="F10">
        <v>0.28000000000000003</v>
      </c>
      <c r="G10" s="9">
        <v>45054.50520146991</v>
      </c>
      <c r="H10" s="9">
        <v>45054.505241354163</v>
      </c>
      <c r="I10" t="s">
        <v>107</v>
      </c>
      <c r="J10" t="s">
        <v>108</v>
      </c>
      <c r="R10" t="s">
        <v>109</v>
      </c>
    </row>
    <row r="11" spans="1:19" x14ac:dyDescent="0.25">
      <c r="A11" t="s">
        <v>105</v>
      </c>
      <c r="B11" t="s">
        <v>111</v>
      </c>
      <c r="C11">
        <v>18</v>
      </c>
      <c r="D11">
        <v>10</v>
      </c>
      <c r="E11">
        <v>0</v>
      </c>
      <c r="F11">
        <v>0</v>
      </c>
      <c r="G11" s="9">
        <v>45054.505199571759</v>
      </c>
      <c r="H11" s="9">
        <v>45054.505199768515</v>
      </c>
      <c r="I11" t="s">
        <v>107</v>
      </c>
      <c r="J11" t="s">
        <v>108</v>
      </c>
      <c r="R11" t="s">
        <v>109</v>
      </c>
    </row>
    <row r="12" spans="1:19" x14ac:dyDescent="0.25">
      <c r="A12" t="s">
        <v>112</v>
      </c>
      <c r="B12" t="s">
        <v>113</v>
      </c>
      <c r="C12">
        <v>5</v>
      </c>
      <c r="D12">
        <v>5</v>
      </c>
      <c r="E12">
        <v>316</v>
      </c>
      <c r="F12">
        <v>0.98</v>
      </c>
      <c r="G12" s="9">
        <v>45054.505202083332</v>
      </c>
      <c r="H12" s="9">
        <v>45054.505308877313</v>
      </c>
      <c r="I12" t="s">
        <v>114</v>
      </c>
      <c r="J12" t="s">
        <v>115</v>
      </c>
      <c r="R12" t="s">
        <v>116</v>
      </c>
    </row>
    <row r="13" spans="1:19" x14ac:dyDescent="0.25">
      <c r="A13" t="s">
        <v>112</v>
      </c>
      <c r="B13" t="s">
        <v>117</v>
      </c>
      <c r="C13">
        <v>6</v>
      </c>
      <c r="D13">
        <v>5</v>
      </c>
      <c r="E13">
        <v>296</v>
      </c>
      <c r="F13">
        <v>1.17</v>
      </c>
      <c r="G13" s="9">
        <v>45054.505202083332</v>
      </c>
      <c r="H13" s="9">
        <v>45054.505308796295</v>
      </c>
      <c r="I13" t="s">
        <v>114</v>
      </c>
      <c r="J13" t="s">
        <v>115</v>
      </c>
      <c r="R13" t="s">
        <v>116</v>
      </c>
    </row>
    <row r="14" spans="1:19" x14ac:dyDescent="0.25">
      <c r="A14" t="s">
        <v>112</v>
      </c>
      <c r="B14" t="s">
        <v>118</v>
      </c>
      <c r="C14">
        <v>16</v>
      </c>
      <c r="D14">
        <v>14</v>
      </c>
      <c r="E14">
        <v>290</v>
      </c>
      <c r="F14">
        <v>2.13</v>
      </c>
      <c r="G14" s="9">
        <v>45054.505202002314</v>
      </c>
      <c r="H14" s="9">
        <v>45054.505317164352</v>
      </c>
      <c r="I14" t="s">
        <v>114</v>
      </c>
      <c r="J14" t="s">
        <v>115</v>
      </c>
      <c r="R14" t="s">
        <v>116</v>
      </c>
    </row>
    <row r="15" spans="1:19" x14ac:dyDescent="0.25">
      <c r="A15" t="s">
        <v>112</v>
      </c>
      <c r="B15" t="s">
        <v>119</v>
      </c>
      <c r="C15">
        <v>4</v>
      </c>
      <c r="D15">
        <v>4</v>
      </c>
      <c r="E15">
        <v>16</v>
      </c>
      <c r="F15">
        <v>0.28000000000000003</v>
      </c>
      <c r="G15" s="9">
        <v>45054.505201851855</v>
      </c>
      <c r="H15" s="9">
        <v>45054.505308796295</v>
      </c>
      <c r="I15" t="s">
        <v>114</v>
      </c>
      <c r="J15" t="s">
        <v>115</v>
      </c>
      <c r="R15" t="s">
        <v>116</v>
      </c>
    </row>
    <row r="16" spans="1:19" x14ac:dyDescent="0.25">
      <c r="A16" t="s">
        <v>112</v>
      </c>
      <c r="B16" t="s">
        <v>120</v>
      </c>
      <c r="C16">
        <v>8</v>
      </c>
      <c r="D16">
        <v>4</v>
      </c>
      <c r="E16">
        <v>13</v>
      </c>
      <c r="F16">
        <v>1.56</v>
      </c>
      <c r="G16" s="9">
        <v>45054.50520216435</v>
      </c>
      <c r="H16" s="9">
        <v>45054.505308946762</v>
      </c>
      <c r="I16" t="s">
        <v>114</v>
      </c>
      <c r="J16" t="s">
        <v>115</v>
      </c>
      <c r="R16" t="s">
        <v>116</v>
      </c>
    </row>
    <row r="17" spans="1:18" x14ac:dyDescent="0.25">
      <c r="A17" t="s">
        <v>112</v>
      </c>
      <c r="B17" t="s">
        <v>121</v>
      </c>
      <c r="C17">
        <v>5</v>
      </c>
      <c r="D17">
        <v>5</v>
      </c>
      <c r="E17">
        <v>3</v>
      </c>
      <c r="F17">
        <v>0.35</v>
      </c>
      <c r="G17" s="9">
        <v>45054.505203587963</v>
      </c>
      <c r="H17" s="9">
        <v>45054.505308796295</v>
      </c>
      <c r="I17" t="s">
        <v>114</v>
      </c>
      <c r="J17" t="s">
        <v>115</v>
      </c>
      <c r="R17" t="s">
        <v>116</v>
      </c>
    </row>
    <row r="18" spans="1:18" x14ac:dyDescent="0.25">
      <c r="A18" t="s">
        <v>122</v>
      </c>
      <c r="B18" t="s">
        <v>123</v>
      </c>
      <c r="C18">
        <v>3</v>
      </c>
      <c r="D18">
        <v>3</v>
      </c>
      <c r="E18">
        <v>20777</v>
      </c>
      <c r="F18">
        <v>2.46</v>
      </c>
      <c r="G18" s="9">
        <v>45054.505201539352</v>
      </c>
      <c r="H18" s="9">
        <v>45054.505315937502</v>
      </c>
      <c r="I18" t="s">
        <v>124</v>
      </c>
      <c r="J18" t="s">
        <v>115</v>
      </c>
      <c r="R18" t="s">
        <v>125</v>
      </c>
    </row>
    <row r="19" spans="1:18" x14ac:dyDescent="0.25">
      <c r="A19" t="s">
        <v>122</v>
      </c>
      <c r="B19" t="s">
        <v>126</v>
      </c>
      <c r="C19">
        <v>5</v>
      </c>
      <c r="D19">
        <v>4</v>
      </c>
      <c r="E19">
        <v>19972</v>
      </c>
      <c r="F19">
        <v>10.35</v>
      </c>
      <c r="G19" s="9">
        <v>45054.505201967593</v>
      </c>
      <c r="H19" s="9">
        <v>45054.505308483793</v>
      </c>
      <c r="I19" t="s">
        <v>124</v>
      </c>
      <c r="J19" t="s">
        <v>115</v>
      </c>
      <c r="R19" t="s">
        <v>125</v>
      </c>
    </row>
    <row r="20" spans="1:18" x14ac:dyDescent="0.25">
      <c r="A20" t="s">
        <v>122</v>
      </c>
      <c r="B20" t="s">
        <v>127</v>
      </c>
      <c r="C20">
        <v>5</v>
      </c>
      <c r="D20">
        <v>5</v>
      </c>
      <c r="E20">
        <v>19972</v>
      </c>
      <c r="F20">
        <v>9.73</v>
      </c>
      <c r="G20" s="9">
        <v>45054.505202233799</v>
      </c>
      <c r="H20" s="9">
        <v>45054.505308993059</v>
      </c>
      <c r="I20" t="s">
        <v>124</v>
      </c>
      <c r="J20" t="s">
        <v>115</v>
      </c>
      <c r="R20" t="s">
        <v>125</v>
      </c>
    </row>
    <row r="21" spans="1:18" x14ac:dyDescent="0.25">
      <c r="A21" t="s">
        <v>122</v>
      </c>
      <c r="B21" t="s">
        <v>122</v>
      </c>
      <c r="C21">
        <v>39</v>
      </c>
      <c r="D21">
        <v>24</v>
      </c>
      <c r="E21">
        <v>19972</v>
      </c>
      <c r="F21">
        <v>397.21</v>
      </c>
      <c r="G21" s="9">
        <v>45054.505202280096</v>
      </c>
      <c r="H21" s="9">
        <v>45054.50531724537</v>
      </c>
      <c r="I21" t="s">
        <v>124</v>
      </c>
      <c r="J21" t="s">
        <v>115</v>
      </c>
      <c r="R21" t="s">
        <v>125</v>
      </c>
    </row>
    <row r="22" spans="1:18" x14ac:dyDescent="0.25">
      <c r="A22" t="s">
        <v>122</v>
      </c>
      <c r="B22" t="s">
        <v>128</v>
      </c>
      <c r="C22">
        <v>4</v>
      </c>
      <c r="D22">
        <v>4</v>
      </c>
      <c r="E22">
        <v>19972</v>
      </c>
      <c r="F22">
        <v>5.03</v>
      </c>
      <c r="G22" s="9">
        <v>45054.505202349537</v>
      </c>
      <c r="H22" s="9">
        <v>45054.505309641201</v>
      </c>
      <c r="I22" t="s">
        <v>124</v>
      </c>
      <c r="J22" t="s">
        <v>115</v>
      </c>
      <c r="R22" t="s">
        <v>125</v>
      </c>
    </row>
    <row r="23" spans="1:18" x14ac:dyDescent="0.25">
      <c r="A23" t="s">
        <v>122</v>
      </c>
      <c r="B23" t="s">
        <v>129</v>
      </c>
      <c r="C23">
        <v>27</v>
      </c>
      <c r="D23">
        <v>21</v>
      </c>
      <c r="E23">
        <v>19614</v>
      </c>
      <c r="F23">
        <v>26.93</v>
      </c>
      <c r="G23" s="9">
        <v>45054.505201388885</v>
      </c>
      <c r="H23" s="9">
        <v>45054.505312615744</v>
      </c>
      <c r="I23" t="s">
        <v>124</v>
      </c>
      <c r="J23" t="s">
        <v>115</v>
      </c>
      <c r="R23" t="s">
        <v>125</v>
      </c>
    </row>
    <row r="24" spans="1:18" x14ac:dyDescent="0.25">
      <c r="A24" t="s">
        <v>122</v>
      </c>
      <c r="B24" t="s">
        <v>130</v>
      </c>
      <c r="C24">
        <v>5</v>
      </c>
      <c r="D24">
        <v>5</v>
      </c>
      <c r="E24">
        <v>19614</v>
      </c>
      <c r="F24">
        <v>4.7300000000000004</v>
      </c>
      <c r="G24" s="9">
        <v>45054.505201585649</v>
      </c>
      <c r="H24" s="9">
        <v>45054.505307175925</v>
      </c>
      <c r="I24" t="s">
        <v>124</v>
      </c>
      <c r="J24" t="s">
        <v>115</v>
      </c>
      <c r="R24" t="s">
        <v>125</v>
      </c>
    </row>
    <row r="25" spans="1:18" x14ac:dyDescent="0.25">
      <c r="A25" t="s">
        <v>122</v>
      </c>
      <c r="B25" t="s">
        <v>131</v>
      </c>
      <c r="C25">
        <v>5</v>
      </c>
      <c r="D25">
        <v>5</v>
      </c>
      <c r="E25">
        <v>909</v>
      </c>
      <c r="F25">
        <v>0.98</v>
      </c>
      <c r="G25" s="9">
        <v>45054.505201585649</v>
      </c>
      <c r="H25" s="9">
        <v>45054.50530744213</v>
      </c>
      <c r="I25" t="s">
        <v>124</v>
      </c>
      <c r="J25" t="s">
        <v>115</v>
      </c>
      <c r="R25" t="s">
        <v>125</v>
      </c>
    </row>
    <row r="26" spans="1:18" x14ac:dyDescent="0.25">
      <c r="A26" t="s">
        <v>122</v>
      </c>
      <c r="B26" t="s">
        <v>132</v>
      </c>
      <c r="C26">
        <v>3</v>
      </c>
      <c r="D26">
        <v>3</v>
      </c>
      <c r="E26">
        <v>238</v>
      </c>
      <c r="F26">
        <v>0.59</v>
      </c>
      <c r="G26" s="9">
        <v>45054.505201701388</v>
      </c>
      <c r="H26" s="9">
        <v>45054.505319097225</v>
      </c>
      <c r="I26" t="s">
        <v>124</v>
      </c>
      <c r="J26" t="s">
        <v>115</v>
      </c>
      <c r="R26" t="s">
        <v>125</v>
      </c>
    </row>
    <row r="27" spans="1:18" x14ac:dyDescent="0.25">
      <c r="A27" t="s">
        <v>122</v>
      </c>
      <c r="B27" t="s">
        <v>133</v>
      </c>
      <c r="C27">
        <v>8</v>
      </c>
      <c r="D27">
        <v>8</v>
      </c>
      <c r="E27">
        <v>181</v>
      </c>
      <c r="F27">
        <v>1.56</v>
      </c>
      <c r="G27" s="9">
        <v>45054.50520378472</v>
      </c>
      <c r="H27" s="9">
        <v>45054.505319097225</v>
      </c>
      <c r="I27" t="s">
        <v>124</v>
      </c>
      <c r="J27" t="s">
        <v>115</v>
      </c>
      <c r="R27" t="s">
        <v>125</v>
      </c>
    </row>
    <row r="28" spans="1:18" x14ac:dyDescent="0.25">
      <c r="A28" t="s">
        <v>122</v>
      </c>
      <c r="B28" t="s">
        <v>134</v>
      </c>
      <c r="C28">
        <v>3</v>
      </c>
      <c r="D28">
        <v>3</v>
      </c>
      <c r="E28">
        <v>20</v>
      </c>
      <c r="F28">
        <v>0.21</v>
      </c>
      <c r="G28" s="9">
        <v>45054.50520162037</v>
      </c>
      <c r="H28" s="9">
        <v>45054.50530744213</v>
      </c>
      <c r="I28" t="s">
        <v>124</v>
      </c>
      <c r="J28" t="s">
        <v>115</v>
      </c>
      <c r="R28" t="s">
        <v>125</v>
      </c>
    </row>
    <row r="29" spans="1:18" x14ac:dyDescent="0.25">
      <c r="A29" t="s">
        <v>122</v>
      </c>
      <c r="B29" t="s">
        <v>135</v>
      </c>
      <c r="C29">
        <v>4</v>
      </c>
      <c r="D29">
        <v>4</v>
      </c>
      <c r="E29">
        <v>6</v>
      </c>
      <c r="F29">
        <v>0.28000000000000003</v>
      </c>
      <c r="G29" s="9">
        <v>45054.505201423613</v>
      </c>
      <c r="H29" s="9">
        <v>45054.505307175925</v>
      </c>
      <c r="I29" t="s">
        <v>124</v>
      </c>
      <c r="J29" t="s">
        <v>115</v>
      </c>
      <c r="R29" t="s">
        <v>125</v>
      </c>
    </row>
    <row r="30" spans="1:18" x14ac:dyDescent="0.25">
      <c r="A30" t="s">
        <v>122</v>
      </c>
      <c r="B30" t="s">
        <v>136</v>
      </c>
      <c r="C30">
        <v>3</v>
      </c>
      <c r="D30">
        <v>3</v>
      </c>
      <c r="E30">
        <v>3</v>
      </c>
      <c r="F30">
        <v>0.21</v>
      </c>
      <c r="G30" s="9">
        <v>45054.505202395834</v>
      </c>
      <c r="H30" s="9">
        <v>45054.505309641201</v>
      </c>
      <c r="I30" t="s">
        <v>124</v>
      </c>
      <c r="J30" t="s">
        <v>115</v>
      </c>
      <c r="R30" t="s">
        <v>125</v>
      </c>
    </row>
    <row r="31" spans="1:18" x14ac:dyDescent="0.25">
      <c r="A31" t="s">
        <v>137</v>
      </c>
      <c r="B31" t="s">
        <v>138</v>
      </c>
      <c r="C31">
        <v>9</v>
      </c>
      <c r="D31">
        <v>9</v>
      </c>
      <c r="E31">
        <v>113443</v>
      </c>
      <c r="F31">
        <v>56.32</v>
      </c>
      <c r="G31" s="9">
        <v>45054.505203854169</v>
      </c>
      <c r="H31" s="9">
        <v>45054.505315740738</v>
      </c>
      <c r="I31" t="s">
        <v>139</v>
      </c>
      <c r="J31" t="s">
        <v>140</v>
      </c>
      <c r="R31" t="s">
        <v>109</v>
      </c>
    </row>
    <row r="32" spans="1:18" x14ac:dyDescent="0.25">
      <c r="A32" t="s">
        <v>137</v>
      </c>
      <c r="B32" t="s">
        <v>141</v>
      </c>
      <c r="C32">
        <v>9</v>
      </c>
      <c r="D32">
        <v>9</v>
      </c>
      <c r="E32">
        <v>89253</v>
      </c>
      <c r="F32">
        <v>44.51</v>
      </c>
      <c r="G32" s="9">
        <v>45054.505203900466</v>
      </c>
      <c r="H32" s="9">
        <v>45054.505267442131</v>
      </c>
      <c r="I32" t="s">
        <v>139</v>
      </c>
      <c r="J32" t="s">
        <v>140</v>
      </c>
      <c r="R32" t="s">
        <v>109</v>
      </c>
    </row>
    <row r="33" spans="1:18" x14ac:dyDescent="0.25">
      <c r="A33" t="s">
        <v>137</v>
      </c>
      <c r="B33" t="s">
        <v>142</v>
      </c>
      <c r="C33">
        <v>10</v>
      </c>
      <c r="D33">
        <v>8</v>
      </c>
      <c r="E33">
        <v>72591</v>
      </c>
      <c r="F33">
        <v>41.95</v>
      </c>
      <c r="G33" s="9">
        <v>45054.505204016205</v>
      </c>
      <c r="H33" s="9">
        <v>45054.505317592593</v>
      </c>
      <c r="I33" t="s">
        <v>139</v>
      </c>
      <c r="J33" t="s">
        <v>140</v>
      </c>
      <c r="R33" t="s">
        <v>109</v>
      </c>
    </row>
    <row r="34" spans="1:18" x14ac:dyDescent="0.25">
      <c r="A34" t="s">
        <v>137</v>
      </c>
      <c r="B34" t="s">
        <v>143</v>
      </c>
      <c r="C34">
        <v>12</v>
      </c>
      <c r="D34">
        <v>8</v>
      </c>
      <c r="E34">
        <v>67131</v>
      </c>
      <c r="F34">
        <v>66.09</v>
      </c>
      <c r="G34" s="9">
        <v>45054.505204050925</v>
      </c>
      <c r="H34" s="9">
        <v>45054.5053162037</v>
      </c>
      <c r="I34" t="s">
        <v>139</v>
      </c>
      <c r="J34" t="s">
        <v>140</v>
      </c>
      <c r="R34" t="s">
        <v>109</v>
      </c>
    </row>
    <row r="35" spans="1:18" x14ac:dyDescent="0.25">
      <c r="A35" t="s">
        <v>137</v>
      </c>
      <c r="B35" t="s">
        <v>144</v>
      </c>
      <c r="C35">
        <v>9</v>
      </c>
      <c r="D35">
        <v>7</v>
      </c>
      <c r="E35">
        <v>2679</v>
      </c>
      <c r="F35">
        <v>2.88</v>
      </c>
      <c r="G35" s="9">
        <v>45054.505201504631</v>
      </c>
      <c r="H35" s="9">
        <v>45054.505307060186</v>
      </c>
      <c r="I35" t="s">
        <v>139</v>
      </c>
      <c r="J35" t="s">
        <v>140</v>
      </c>
      <c r="R35" t="s">
        <v>109</v>
      </c>
    </row>
    <row r="36" spans="1:18" x14ac:dyDescent="0.25">
      <c r="A36" t="s">
        <v>137</v>
      </c>
      <c r="B36" t="s">
        <v>145</v>
      </c>
      <c r="C36">
        <v>7</v>
      </c>
      <c r="D36">
        <v>7</v>
      </c>
      <c r="E36">
        <v>1069</v>
      </c>
      <c r="F36">
        <v>1.37</v>
      </c>
      <c r="G36" s="9">
        <v>45054.505202627312</v>
      </c>
      <c r="H36" s="9">
        <v>45054.505310219909</v>
      </c>
      <c r="I36" t="s">
        <v>139</v>
      </c>
      <c r="J36" t="s">
        <v>140</v>
      </c>
      <c r="R36" t="s">
        <v>109</v>
      </c>
    </row>
    <row r="37" spans="1:18" x14ac:dyDescent="0.25">
      <c r="A37" t="s">
        <v>137</v>
      </c>
      <c r="B37" t="s">
        <v>146</v>
      </c>
      <c r="C37">
        <v>4</v>
      </c>
      <c r="D37">
        <v>4</v>
      </c>
      <c r="E37">
        <v>762</v>
      </c>
      <c r="F37">
        <v>1.03</v>
      </c>
      <c r="G37" s="9">
        <v>45054.505202546294</v>
      </c>
      <c r="H37" s="9">
        <v>45054.505318634256</v>
      </c>
      <c r="I37" t="s">
        <v>139</v>
      </c>
      <c r="J37" t="s">
        <v>140</v>
      </c>
      <c r="R37" t="s">
        <v>109</v>
      </c>
    </row>
    <row r="38" spans="1:18" x14ac:dyDescent="0.25">
      <c r="A38" t="s">
        <v>137</v>
      </c>
      <c r="B38" t="s">
        <v>147</v>
      </c>
      <c r="C38">
        <v>4</v>
      </c>
      <c r="D38">
        <v>4</v>
      </c>
      <c r="E38">
        <v>762</v>
      </c>
      <c r="F38">
        <v>0.78</v>
      </c>
      <c r="G38" s="9">
        <v>45054.505202743057</v>
      </c>
      <c r="H38" s="9">
        <v>45054.505318634256</v>
      </c>
      <c r="I38" t="s">
        <v>139</v>
      </c>
      <c r="J38" t="s">
        <v>140</v>
      </c>
      <c r="R38" t="s">
        <v>109</v>
      </c>
    </row>
    <row r="39" spans="1:18" x14ac:dyDescent="0.25">
      <c r="A39" t="s">
        <v>137</v>
      </c>
      <c r="B39" t="s">
        <v>148</v>
      </c>
      <c r="C39">
        <v>25</v>
      </c>
      <c r="D39">
        <v>13</v>
      </c>
      <c r="E39">
        <v>504</v>
      </c>
      <c r="F39">
        <v>6.45</v>
      </c>
      <c r="G39" s="9">
        <v>45054.505202430555</v>
      </c>
      <c r="H39" s="9">
        <v>45054.505318634256</v>
      </c>
      <c r="I39" t="s">
        <v>139</v>
      </c>
      <c r="J39" t="s">
        <v>140</v>
      </c>
      <c r="R39" t="s">
        <v>109</v>
      </c>
    </row>
    <row r="40" spans="1:18" x14ac:dyDescent="0.25">
      <c r="A40" t="s">
        <v>137</v>
      </c>
      <c r="B40" t="s">
        <v>149</v>
      </c>
      <c r="C40">
        <v>4</v>
      </c>
      <c r="D40">
        <v>4</v>
      </c>
      <c r="E40">
        <v>504</v>
      </c>
      <c r="F40">
        <v>0.28000000000000003</v>
      </c>
      <c r="G40" s="9">
        <v>45054.505202812499</v>
      </c>
      <c r="H40" s="9">
        <v>45054.505310497683</v>
      </c>
      <c r="I40" t="s">
        <v>139</v>
      </c>
      <c r="J40" t="s">
        <v>140</v>
      </c>
      <c r="R40" t="s">
        <v>109</v>
      </c>
    </row>
    <row r="41" spans="1:18" x14ac:dyDescent="0.25">
      <c r="A41" t="s">
        <v>137</v>
      </c>
      <c r="B41" t="s">
        <v>150</v>
      </c>
      <c r="C41">
        <v>5</v>
      </c>
      <c r="D41">
        <v>4</v>
      </c>
      <c r="E41">
        <v>395</v>
      </c>
      <c r="F41">
        <v>0.98</v>
      </c>
      <c r="G41" s="9">
        <v>45054.505202511573</v>
      </c>
      <c r="H41" s="9">
        <v>45054.505310069442</v>
      </c>
      <c r="I41" t="s">
        <v>139</v>
      </c>
      <c r="J41" t="s">
        <v>140</v>
      </c>
      <c r="R41" t="s">
        <v>109</v>
      </c>
    </row>
    <row r="42" spans="1:18" x14ac:dyDescent="0.25">
      <c r="A42" t="s">
        <v>137</v>
      </c>
      <c r="B42" t="s">
        <v>151</v>
      </c>
      <c r="C42">
        <v>5</v>
      </c>
      <c r="D42">
        <v>4</v>
      </c>
      <c r="E42">
        <v>395</v>
      </c>
      <c r="F42">
        <v>0.98</v>
      </c>
      <c r="G42" s="9">
        <v>45054.50520266204</v>
      </c>
      <c r="H42" s="9">
        <v>45054.505310300927</v>
      </c>
      <c r="I42" t="s">
        <v>139</v>
      </c>
      <c r="J42" t="s">
        <v>140</v>
      </c>
      <c r="R42" t="s">
        <v>109</v>
      </c>
    </row>
    <row r="43" spans="1:18" x14ac:dyDescent="0.25">
      <c r="A43" t="s">
        <v>137</v>
      </c>
      <c r="B43" t="s">
        <v>152</v>
      </c>
      <c r="C43">
        <v>18</v>
      </c>
      <c r="D43">
        <v>12</v>
      </c>
      <c r="E43">
        <v>128</v>
      </c>
      <c r="F43">
        <v>1.97</v>
      </c>
      <c r="G43" s="9">
        <v>45054.505202696761</v>
      </c>
      <c r="H43" s="9">
        <v>45054.505318634256</v>
      </c>
      <c r="I43" t="s">
        <v>139</v>
      </c>
      <c r="J43" t="s">
        <v>140</v>
      </c>
      <c r="R43" t="s">
        <v>109</v>
      </c>
    </row>
    <row r="44" spans="1:18" x14ac:dyDescent="0.25">
      <c r="A44" t="s">
        <v>137</v>
      </c>
      <c r="B44" t="s">
        <v>153</v>
      </c>
      <c r="C44">
        <v>18</v>
      </c>
      <c r="D44">
        <v>6</v>
      </c>
      <c r="E44">
        <v>101</v>
      </c>
      <c r="F44">
        <v>14.72</v>
      </c>
      <c r="G44" s="9">
        <v>45054.505202777778</v>
      </c>
      <c r="H44" s="9">
        <v>45054.505310497683</v>
      </c>
      <c r="I44" t="s">
        <v>139</v>
      </c>
      <c r="J44" t="s">
        <v>140</v>
      </c>
      <c r="R44" t="s">
        <v>109</v>
      </c>
    </row>
    <row r="45" spans="1:18" x14ac:dyDescent="0.25">
      <c r="A45" t="s">
        <v>137</v>
      </c>
      <c r="B45" t="s">
        <v>154</v>
      </c>
      <c r="C45">
        <v>3</v>
      </c>
      <c r="D45">
        <v>3</v>
      </c>
      <c r="E45">
        <v>38</v>
      </c>
      <c r="F45">
        <v>0.21</v>
      </c>
      <c r="G45" s="9">
        <v>45054.505203935187</v>
      </c>
      <c r="H45" s="9">
        <v>45054.50531064815</v>
      </c>
      <c r="I45" t="s">
        <v>139</v>
      </c>
      <c r="J45" t="s">
        <v>140</v>
      </c>
      <c r="R45" t="s">
        <v>109</v>
      </c>
    </row>
    <row r="46" spans="1:18" x14ac:dyDescent="0.25">
      <c r="A46" t="s">
        <v>137</v>
      </c>
      <c r="B46" t="s">
        <v>155</v>
      </c>
      <c r="C46">
        <v>5</v>
      </c>
      <c r="D46">
        <v>5</v>
      </c>
      <c r="E46">
        <v>37</v>
      </c>
      <c r="F46">
        <v>0.35</v>
      </c>
      <c r="G46" s="9">
        <v>45054.505202893517</v>
      </c>
      <c r="H46" s="9">
        <v>45054.505310613429</v>
      </c>
      <c r="I46" t="s">
        <v>139</v>
      </c>
      <c r="J46" t="s">
        <v>140</v>
      </c>
      <c r="R46" t="s">
        <v>109</v>
      </c>
    </row>
    <row r="47" spans="1:18" x14ac:dyDescent="0.25">
      <c r="A47" t="s">
        <v>137</v>
      </c>
      <c r="B47" t="s">
        <v>156</v>
      </c>
      <c r="C47">
        <v>3</v>
      </c>
      <c r="D47">
        <v>3</v>
      </c>
      <c r="E47">
        <v>32</v>
      </c>
      <c r="F47">
        <v>0.21</v>
      </c>
      <c r="G47" s="9">
        <v>45054.505202581022</v>
      </c>
      <c r="H47" s="9">
        <v>45054.50531015046</v>
      </c>
      <c r="I47" t="s">
        <v>139</v>
      </c>
      <c r="J47" t="s">
        <v>140</v>
      </c>
      <c r="R47" t="s">
        <v>109</v>
      </c>
    </row>
    <row r="48" spans="1:18" x14ac:dyDescent="0.25">
      <c r="A48" t="s">
        <v>137</v>
      </c>
      <c r="B48" t="s">
        <v>157</v>
      </c>
      <c r="C48">
        <v>3</v>
      </c>
      <c r="D48">
        <v>3</v>
      </c>
      <c r="E48">
        <v>16</v>
      </c>
      <c r="F48">
        <v>0.21</v>
      </c>
      <c r="G48" s="9">
        <v>45054.505203553243</v>
      </c>
      <c r="H48" s="9">
        <v>45054.505315972223</v>
      </c>
      <c r="I48" t="s">
        <v>139</v>
      </c>
      <c r="J48" t="s">
        <v>140</v>
      </c>
      <c r="R48" t="s">
        <v>109</v>
      </c>
    </row>
    <row r="49" spans="1:18" x14ac:dyDescent="0.25">
      <c r="A49" t="s">
        <v>137</v>
      </c>
      <c r="B49" t="s">
        <v>158</v>
      </c>
      <c r="C49">
        <v>5</v>
      </c>
      <c r="D49">
        <v>5</v>
      </c>
      <c r="E49">
        <v>14</v>
      </c>
      <c r="F49">
        <v>0.35</v>
      </c>
      <c r="G49" s="9">
        <v>45054.50520219907</v>
      </c>
      <c r="H49" s="9">
        <v>45054.5053162037</v>
      </c>
      <c r="I49" t="s">
        <v>139</v>
      </c>
      <c r="J49" t="s">
        <v>140</v>
      </c>
      <c r="R49" t="s">
        <v>109</v>
      </c>
    </row>
    <row r="50" spans="1:18" x14ac:dyDescent="0.25">
      <c r="A50" t="s">
        <v>137</v>
      </c>
      <c r="B50" t="s">
        <v>159</v>
      </c>
      <c r="C50">
        <v>42</v>
      </c>
      <c r="D50">
        <v>33</v>
      </c>
      <c r="E50">
        <v>13</v>
      </c>
      <c r="F50">
        <v>6.34</v>
      </c>
      <c r="G50" s="9">
        <v>45054.505201932872</v>
      </c>
      <c r="H50" s="9">
        <v>45054.50531015046</v>
      </c>
      <c r="I50" t="s">
        <v>139</v>
      </c>
      <c r="J50" t="s">
        <v>140</v>
      </c>
      <c r="R50" t="s">
        <v>109</v>
      </c>
    </row>
    <row r="51" spans="1:18" x14ac:dyDescent="0.25">
      <c r="A51" t="s">
        <v>137</v>
      </c>
      <c r="B51" t="s">
        <v>160</v>
      </c>
      <c r="C51">
        <v>3</v>
      </c>
      <c r="D51">
        <v>3</v>
      </c>
      <c r="E51">
        <v>8</v>
      </c>
      <c r="F51">
        <v>0.21</v>
      </c>
      <c r="G51" s="9">
        <v>45054.505201736109</v>
      </c>
      <c r="H51" s="9">
        <v>45054.505310416665</v>
      </c>
      <c r="I51" t="s">
        <v>139</v>
      </c>
      <c r="J51" t="s">
        <v>140</v>
      </c>
      <c r="R51" t="s">
        <v>109</v>
      </c>
    </row>
    <row r="52" spans="1:18" x14ac:dyDescent="0.25">
      <c r="A52" t="s">
        <v>137</v>
      </c>
      <c r="B52" t="s">
        <v>161</v>
      </c>
      <c r="C52">
        <v>3</v>
      </c>
      <c r="D52">
        <v>3</v>
      </c>
      <c r="E52">
        <v>7</v>
      </c>
      <c r="F52">
        <v>0.21</v>
      </c>
      <c r="G52" s="9">
        <v>45054.505202696761</v>
      </c>
      <c r="H52" s="9">
        <v>45054.505310335648</v>
      </c>
      <c r="I52" t="s">
        <v>139</v>
      </c>
      <c r="J52" t="s">
        <v>140</v>
      </c>
      <c r="R52" t="s">
        <v>109</v>
      </c>
    </row>
    <row r="53" spans="1:18" x14ac:dyDescent="0.25">
      <c r="A53" t="s">
        <v>137</v>
      </c>
      <c r="B53" t="s">
        <v>162</v>
      </c>
      <c r="C53">
        <v>6</v>
      </c>
      <c r="D53">
        <v>4</v>
      </c>
      <c r="E53">
        <v>5</v>
      </c>
      <c r="F53">
        <v>1.17</v>
      </c>
      <c r="G53" s="9">
        <v>45054.505202118053</v>
      </c>
      <c r="H53" s="9">
        <v>45054.505310335648</v>
      </c>
      <c r="I53" t="s">
        <v>139</v>
      </c>
      <c r="J53" t="s">
        <v>140</v>
      </c>
      <c r="R53" t="s">
        <v>109</v>
      </c>
    </row>
    <row r="54" spans="1:18" x14ac:dyDescent="0.25">
      <c r="A54" t="s">
        <v>137</v>
      </c>
      <c r="B54" t="s">
        <v>163</v>
      </c>
      <c r="C54">
        <v>4</v>
      </c>
      <c r="D54">
        <v>4</v>
      </c>
      <c r="E54">
        <v>4</v>
      </c>
      <c r="F54">
        <v>0.28000000000000003</v>
      </c>
      <c r="G54" s="9">
        <v>45054.505202465276</v>
      </c>
      <c r="H54" s="9">
        <v>45054.505310613429</v>
      </c>
      <c r="I54" t="s">
        <v>139</v>
      </c>
      <c r="J54" t="s">
        <v>140</v>
      </c>
      <c r="R54" t="s">
        <v>109</v>
      </c>
    </row>
    <row r="55" spans="1:18" x14ac:dyDescent="0.25">
      <c r="A55" t="s">
        <v>137</v>
      </c>
      <c r="B55" t="s">
        <v>164</v>
      </c>
      <c r="C55">
        <v>8</v>
      </c>
      <c r="D55">
        <v>7</v>
      </c>
      <c r="E55">
        <v>4</v>
      </c>
      <c r="F55">
        <v>1.56</v>
      </c>
      <c r="G55" s="9">
        <v>45054.505202858796</v>
      </c>
      <c r="H55" s="9">
        <v>45054.505310567132</v>
      </c>
      <c r="I55" t="s">
        <v>139</v>
      </c>
      <c r="J55" t="s">
        <v>140</v>
      </c>
      <c r="R55" t="s">
        <v>109</v>
      </c>
    </row>
    <row r="56" spans="1:18" x14ac:dyDescent="0.25">
      <c r="A56" t="s">
        <v>165</v>
      </c>
      <c r="B56" t="s">
        <v>166</v>
      </c>
      <c r="C56">
        <v>11</v>
      </c>
      <c r="D56">
        <v>11</v>
      </c>
      <c r="E56">
        <v>8845</v>
      </c>
      <c r="F56">
        <v>6.27</v>
      </c>
      <c r="G56" s="9">
        <v>45054.505203009256</v>
      </c>
      <c r="H56" s="9">
        <v>45054.505317361109</v>
      </c>
      <c r="I56" t="s">
        <v>167</v>
      </c>
      <c r="J56" t="s">
        <v>140</v>
      </c>
      <c r="R56" t="s">
        <v>109</v>
      </c>
    </row>
    <row r="57" spans="1:18" x14ac:dyDescent="0.25">
      <c r="A57" t="s">
        <v>165</v>
      </c>
      <c r="B57" t="s">
        <v>168</v>
      </c>
      <c r="C57">
        <v>13</v>
      </c>
      <c r="D57">
        <v>12</v>
      </c>
      <c r="E57">
        <v>4012</v>
      </c>
      <c r="F57">
        <v>5.79</v>
      </c>
      <c r="G57" s="9">
        <v>45054.505203043984</v>
      </c>
      <c r="H57" s="9">
        <v>45054.505317361109</v>
      </c>
      <c r="I57" t="s">
        <v>167</v>
      </c>
      <c r="J57" t="s">
        <v>140</v>
      </c>
      <c r="R57" t="s">
        <v>109</v>
      </c>
    </row>
    <row r="58" spans="1:18" x14ac:dyDescent="0.25">
      <c r="A58" t="s">
        <v>165</v>
      </c>
      <c r="B58" t="s">
        <v>169</v>
      </c>
      <c r="C58">
        <v>11</v>
      </c>
      <c r="D58">
        <v>8</v>
      </c>
      <c r="E58">
        <v>460</v>
      </c>
      <c r="F58">
        <v>2.15</v>
      </c>
      <c r="G58" s="9">
        <v>45054.505202928238</v>
      </c>
      <c r="H58" s="9">
        <v>45054.50531064815</v>
      </c>
      <c r="I58" t="s">
        <v>167</v>
      </c>
      <c r="J58" t="s">
        <v>140</v>
      </c>
      <c r="R58" t="s">
        <v>109</v>
      </c>
    </row>
    <row r="59" spans="1:18" x14ac:dyDescent="0.25">
      <c r="A59" t="s">
        <v>165</v>
      </c>
      <c r="B59" t="s">
        <v>170</v>
      </c>
      <c r="C59">
        <v>8</v>
      </c>
      <c r="D59">
        <v>7</v>
      </c>
      <c r="E59">
        <v>104</v>
      </c>
      <c r="F59">
        <v>1.56</v>
      </c>
      <c r="G59" s="9">
        <v>45054.505203969908</v>
      </c>
      <c r="H59" s="9">
        <v>45054.505317511575</v>
      </c>
      <c r="I59" t="s">
        <v>167</v>
      </c>
      <c r="J59" t="s">
        <v>140</v>
      </c>
      <c r="R59" t="s">
        <v>109</v>
      </c>
    </row>
    <row r="60" spans="1:18" x14ac:dyDescent="0.25">
      <c r="A60" t="s">
        <v>165</v>
      </c>
      <c r="B60" t="s">
        <v>171</v>
      </c>
      <c r="C60">
        <v>6</v>
      </c>
      <c r="D60">
        <v>6</v>
      </c>
      <c r="E60">
        <v>5</v>
      </c>
      <c r="F60">
        <v>0.42</v>
      </c>
      <c r="G60" s="9">
        <v>45054.505203622684</v>
      </c>
      <c r="H60" s="9">
        <v>45054.505312615744</v>
      </c>
      <c r="I60" t="s">
        <v>167</v>
      </c>
      <c r="J60" t="s">
        <v>140</v>
      </c>
      <c r="R60" t="s">
        <v>109</v>
      </c>
    </row>
    <row r="61" spans="1:18" x14ac:dyDescent="0.25">
      <c r="A61" t="s">
        <v>172</v>
      </c>
      <c r="B61" t="s">
        <v>173</v>
      </c>
      <c r="C61">
        <v>11</v>
      </c>
      <c r="D61">
        <v>10</v>
      </c>
      <c r="E61">
        <v>121317</v>
      </c>
      <c r="F61">
        <v>107.34</v>
      </c>
      <c r="G61" s="9">
        <v>45054.505203125002</v>
      </c>
      <c r="H61" s="9">
        <v>45054.505317442126</v>
      </c>
      <c r="I61" t="s">
        <v>174</v>
      </c>
      <c r="J61" t="s">
        <v>175</v>
      </c>
      <c r="R61" t="s">
        <v>176</v>
      </c>
    </row>
    <row r="62" spans="1:18" x14ac:dyDescent="0.25">
      <c r="A62" t="s">
        <v>172</v>
      </c>
      <c r="B62" t="s">
        <v>177</v>
      </c>
      <c r="C62">
        <v>26</v>
      </c>
      <c r="D62">
        <v>17</v>
      </c>
      <c r="E62">
        <v>31465</v>
      </c>
      <c r="F62">
        <v>141.58000000000001</v>
      </c>
      <c r="G62" s="9">
        <v>45054.505203159722</v>
      </c>
      <c r="H62" s="9">
        <v>45054.505317511575</v>
      </c>
      <c r="I62" t="s">
        <v>174</v>
      </c>
      <c r="J62" t="s">
        <v>175</v>
      </c>
      <c r="R62" t="s">
        <v>176</v>
      </c>
    </row>
    <row r="63" spans="1:18" x14ac:dyDescent="0.25">
      <c r="A63" t="s">
        <v>172</v>
      </c>
      <c r="B63" t="s">
        <v>178</v>
      </c>
      <c r="C63">
        <v>3</v>
      </c>
      <c r="D63">
        <v>3</v>
      </c>
      <c r="E63">
        <v>27647</v>
      </c>
      <c r="F63">
        <v>2.27</v>
      </c>
      <c r="G63" s="9">
        <v>45054.50520324074</v>
      </c>
      <c r="H63" s="9">
        <v>45054.505314780094</v>
      </c>
      <c r="I63" t="s">
        <v>174</v>
      </c>
      <c r="J63" t="s">
        <v>175</v>
      </c>
      <c r="R63" t="s">
        <v>176</v>
      </c>
    </row>
    <row r="64" spans="1:18" x14ac:dyDescent="0.25">
      <c r="A64" t="s">
        <v>172</v>
      </c>
      <c r="B64" t="s">
        <v>179</v>
      </c>
      <c r="C64">
        <v>7</v>
      </c>
      <c r="D64">
        <v>4</v>
      </c>
      <c r="E64">
        <v>19820</v>
      </c>
      <c r="F64">
        <v>7.49</v>
      </c>
      <c r="G64" s="9">
        <v>45054.505201851855</v>
      </c>
      <c r="H64" s="9">
        <v>45054.505312615744</v>
      </c>
      <c r="I64" t="s">
        <v>174</v>
      </c>
      <c r="J64" t="s">
        <v>175</v>
      </c>
      <c r="R64" t="s">
        <v>176</v>
      </c>
    </row>
    <row r="65" spans="1:18" x14ac:dyDescent="0.25">
      <c r="A65" t="s">
        <v>172</v>
      </c>
      <c r="B65" t="s">
        <v>180</v>
      </c>
      <c r="C65">
        <v>6</v>
      </c>
      <c r="D65">
        <v>6</v>
      </c>
      <c r="E65">
        <v>19118</v>
      </c>
      <c r="F65">
        <v>9.42</v>
      </c>
      <c r="G65" s="9">
        <v>45054.505201736109</v>
      </c>
      <c r="H65" s="9">
        <v>45054.505312615744</v>
      </c>
      <c r="I65" t="s">
        <v>174</v>
      </c>
      <c r="J65" t="s">
        <v>175</v>
      </c>
      <c r="R65" t="s">
        <v>176</v>
      </c>
    </row>
    <row r="66" spans="1:18" x14ac:dyDescent="0.25">
      <c r="A66" t="s">
        <v>172</v>
      </c>
      <c r="B66" t="s">
        <v>181</v>
      </c>
      <c r="C66">
        <v>3</v>
      </c>
      <c r="D66">
        <v>3</v>
      </c>
      <c r="E66">
        <v>19118</v>
      </c>
      <c r="F66">
        <v>1.71</v>
      </c>
      <c r="G66" s="9">
        <v>45054.505202314816</v>
      </c>
      <c r="H66" s="9">
        <v>45054.505309293978</v>
      </c>
      <c r="I66" t="s">
        <v>174</v>
      </c>
      <c r="J66" t="s">
        <v>175</v>
      </c>
      <c r="R66" t="s">
        <v>176</v>
      </c>
    </row>
    <row r="67" spans="1:18" x14ac:dyDescent="0.25">
      <c r="A67" t="s">
        <v>172</v>
      </c>
      <c r="B67" t="s">
        <v>182</v>
      </c>
      <c r="C67">
        <v>7</v>
      </c>
      <c r="D67">
        <v>7</v>
      </c>
      <c r="E67">
        <v>13532</v>
      </c>
      <c r="F67">
        <v>5.74</v>
      </c>
      <c r="G67" s="9">
        <v>45054.505201817126</v>
      </c>
      <c r="H67" s="9">
        <v>45054.505312615744</v>
      </c>
      <c r="I67" t="s">
        <v>174</v>
      </c>
      <c r="J67" t="s">
        <v>175</v>
      </c>
      <c r="R67" t="s">
        <v>176</v>
      </c>
    </row>
    <row r="68" spans="1:18" x14ac:dyDescent="0.25">
      <c r="A68" t="s">
        <v>172</v>
      </c>
      <c r="B68" t="s">
        <v>183</v>
      </c>
      <c r="C68">
        <v>18</v>
      </c>
      <c r="D68">
        <v>12</v>
      </c>
      <c r="E68">
        <v>701</v>
      </c>
      <c r="F68">
        <v>5.3</v>
      </c>
      <c r="G68" s="9">
        <v>45054.505203819448</v>
      </c>
      <c r="H68" s="9">
        <v>45054.505315706017</v>
      </c>
      <c r="I68" t="s">
        <v>174</v>
      </c>
      <c r="J68" t="s">
        <v>175</v>
      </c>
      <c r="R68" t="s">
        <v>176</v>
      </c>
    </row>
    <row r="69" spans="1:18" x14ac:dyDescent="0.25">
      <c r="A69" t="s">
        <v>172</v>
      </c>
      <c r="B69" t="s">
        <v>184</v>
      </c>
      <c r="C69">
        <v>4</v>
      </c>
      <c r="D69">
        <v>4</v>
      </c>
      <c r="E69">
        <v>538</v>
      </c>
      <c r="F69">
        <v>0.78</v>
      </c>
      <c r="G69" s="9">
        <v>45054.505203738423</v>
      </c>
      <c r="H69" s="9">
        <v>45054.505315543982</v>
      </c>
      <c r="I69" t="s">
        <v>174</v>
      </c>
      <c r="J69" t="s">
        <v>175</v>
      </c>
      <c r="R69" t="s">
        <v>176</v>
      </c>
    </row>
    <row r="70" spans="1:18" x14ac:dyDescent="0.25">
      <c r="A70" t="s">
        <v>172</v>
      </c>
      <c r="B70" t="s">
        <v>185</v>
      </c>
      <c r="C70">
        <v>5</v>
      </c>
      <c r="D70">
        <v>5</v>
      </c>
      <c r="E70">
        <v>163</v>
      </c>
      <c r="F70">
        <v>0.98</v>
      </c>
      <c r="G70" s="9">
        <v>45054.505203356479</v>
      </c>
      <c r="H70" s="9">
        <v>45054.505315277776</v>
      </c>
      <c r="I70" t="s">
        <v>174</v>
      </c>
      <c r="J70" t="s">
        <v>175</v>
      </c>
      <c r="R70" t="s">
        <v>176</v>
      </c>
    </row>
    <row r="71" spans="1:18" x14ac:dyDescent="0.25">
      <c r="A71" t="s">
        <v>172</v>
      </c>
      <c r="B71" t="s">
        <v>186</v>
      </c>
      <c r="C71">
        <v>3</v>
      </c>
      <c r="D71">
        <v>3</v>
      </c>
      <c r="E71">
        <v>109</v>
      </c>
      <c r="F71">
        <v>0.21</v>
      </c>
      <c r="G71" s="9">
        <v>45054.505201655091</v>
      </c>
      <c r="H71" s="9">
        <v>45054.505307557869</v>
      </c>
      <c r="I71" t="s">
        <v>174</v>
      </c>
      <c r="J71" t="s">
        <v>175</v>
      </c>
      <c r="R71" t="s">
        <v>176</v>
      </c>
    </row>
    <row r="72" spans="1:18" x14ac:dyDescent="0.25">
      <c r="A72" t="s">
        <v>172</v>
      </c>
      <c r="B72" t="s">
        <v>187</v>
      </c>
      <c r="C72">
        <v>3</v>
      </c>
      <c r="D72">
        <v>3</v>
      </c>
      <c r="E72">
        <v>105</v>
      </c>
      <c r="F72">
        <v>0.21</v>
      </c>
      <c r="G72" s="9">
        <v>45054.505201770837</v>
      </c>
      <c r="H72" s="9">
        <v>45054.505307638887</v>
      </c>
      <c r="I72" t="s">
        <v>174</v>
      </c>
      <c r="J72" t="s">
        <v>175</v>
      </c>
      <c r="R72" t="s">
        <v>176</v>
      </c>
    </row>
    <row r="73" spans="1:18" x14ac:dyDescent="0.25">
      <c r="A73" t="s">
        <v>172</v>
      </c>
      <c r="B73" t="s">
        <v>188</v>
      </c>
      <c r="C73">
        <v>7</v>
      </c>
      <c r="D73">
        <v>7</v>
      </c>
      <c r="E73">
        <v>29</v>
      </c>
      <c r="F73">
        <v>0.49</v>
      </c>
      <c r="G73" s="9">
        <v>45054.505203391207</v>
      </c>
      <c r="H73" s="9">
        <v>45054.505315312497</v>
      </c>
      <c r="I73" t="s">
        <v>174</v>
      </c>
      <c r="J73" t="s">
        <v>175</v>
      </c>
      <c r="R73" t="s">
        <v>176</v>
      </c>
    </row>
    <row r="74" spans="1:18" x14ac:dyDescent="0.25">
      <c r="A74" t="s">
        <v>172</v>
      </c>
      <c r="B74" t="s">
        <v>189</v>
      </c>
      <c r="C74">
        <v>9</v>
      </c>
      <c r="D74">
        <v>7</v>
      </c>
      <c r="E74">
        <v>17</v>
      </c>
      <c r="F74">
        <v>0.63</v>
      </c>
      <c r="G74" s="9">
        <v>45054.505203275461</v>
      </c>
      <c r="H74" s="9">
        <v>45054.505315706017</v>
      </c>
      <c r="I74" t="s">
        <v>174</v>
      </c>
      <c r="J74" t="s">
        <v>175</v>
      </c>
      <c r="R74" t="s">
        <v>176</v>
      </c>
    </row>
    <row r="75" spans="1:18" x14ac:dyDescent="0.25">
      <c r="A75" t="s">
        <v>172</v>
      </c>
      <c r="B75" t="s">
        <v>190</v>
      </c>
      <c r="C75">
        <v>6</v>
      </c>
      <c r="D75">
        <v>5</v>
      </c>
      <c r="E75">
        <v>17</v>
      </c>
      <c r="F75">
        <v>0.42</v>
      </c>
      <c r="G75" s="9">
        <v>45054.505203506946</v>
      </c>
      <c r="H75" s="9">
        <v>45054.505315428243</v>
      </c>
      <c r="I75" t="s">
        <v>174</v>
      </c>
      <c r="J75" t="s">
        <v>175</v>
      </c>
      <c r="R75" t="s">
        <v>176</v>
      </c>
    </row>
    <row r="76" spans="1:18" x14ac:dyDescent="0.25">
      <c r="A76" t="s">
        <v>172</v>
      </c>
      <c r="B76" t="s">
        <v>191</v>
      </c>
      <c r="C76">
        <v>11</v>
      </c>
      <c r="D76">
        <v>10</v>
      </c>
      <c r="E76">
        <v>16</v>
      </c>
      <c r="F76">
        <v>0.77</v>
      </c>
      <c r="G76" s="9">
        <v>45054.505203703702</v>
      </c>
      <c r="H76" s="9">
        <v>45054.505315543982</v>
      </c>
      <c r="I76" t="s">
        <v>174</v>
      </c>
      <c r="J76" t="s">
        <v>175</v>
      </c>
      <c r="R76" t="s">
        <v>176</v>
      </c>
    </row>
    <row r="77" spans="1:18" x14ac:dyDescent="0.25">
      <c r="A77" t="s">
        <v>172</v>
      </c>
      <c r="B77" t="s">
        <v>192</v>
      </c>
      <c r="C77">
        <v>4</v>
      </c>
      <c r="D77">
        <v>4</v>
      </c>
      <c r="E77">
        <v>10</v>
      </c>
      <c r="F77">
        <v>0.28000000000000003</v>
      </c>
      <c r="G77" s="9">
        <v>45054.505203356479</v>
      </c>
      <c r="H77" s="9">
        <v>45054.505314780094</v>
      </c>
      <c r="I77" t="s">
        <v>174</v>
      </c>
      <c r="J77" t="s">
        <v>175</v>
      </c>
      <c r="R77" t="s">
        <v>176</v>
      </c>
    </row>
    <row r="78" spans="1:18" x14ac:dyDescent="0.25">
      <c r="A78" t="s">
        <v>172</v>
      </c>
      <c r="B78" t="s">
        <v>193</v>
      </c>
      <c r="C78">
        <v>10</v>
      </c>
      <c r="D78">
        <v>10</v>
      </c>
      <c r="E78">
        <v>10</v>
      </c>
      <c r="F78">
        <v>0.7</v>
      </c>
      <c r="G78" s="9">
        <v>45054.505203472225</v>
      </c>
      <c r="H78" s="9">
        <v>45054.505315625</v>
      </c>
      <c r="I78" t="s">
        <v>174</v>
      </c>
      <c r="J78" t="s">
        <v>175</v>
      </c>
      <c r="R78" t="s">
        <v>176</v>
      </c>
    </row>
    <row r="79" spans="1:18" x14ac:dyDescent="0.25">
      <c r="A79" t="s">
        <v>172</v>
      </c>
      <c r="B79" t="s">
        <v>194</v>
      </c>
      <c r="C79">
        <v>6</v>
      </c>
      <c r="D79">
        <v>6</v>
      </c>
      <c r="E79">
        <v>3</v>
      </c>
      <c r="F79">
        <v>0.42</v>
      </c>
      <c r="G79" s="9">
        <v>45054.505203668981</v>
      </c>
      <c r="H79" s="9">
        <v>45054.505315509261</v>
      </c>
      <c r="I79" t="s">
        <v>174</v>
      </c>
      <c r="J79" t="s">
        <v>175</v>
      </c>
      <c r="R79" t="s">
        <v>176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45176C5-CB05-4F47-98E5-88E0C8263762}">
          <x14:formula1>
            <xm:f>Reference_Lists!$B$1:$B$5</xm:f>
          </x14:formula1>
          <xm:sqref>K8 R9:R79 K80:K1048576</xm:sqref>
        </x14:dataValidation>
        <x14:dataValidation type="list" allowBlank="1" showInputMessage="1" showErrorMessage="1" xr:uid="{7FD5CA54-2C10-411E-BCF1-629AA0E6BD77}">
          <x14:formula1>
            <xm:f>Reference_Lists!$D$1:$D$9</xm:f>
          </x14:formula1>
          <xm:sqref>L8 S2:S72 L80:L1048576</xm:sqref>
        </x14:dataValidation>
        <x14:dataValidation type="list" allowBlank="1" showInputMessage="1" showErrorMessage="1" xr:uid="{D9A77197-D9AA-42B0-A0DF-AD537E41EEC4}">
          <x14:formula1>
            <xm:f>Reference_Lists!$A$1:$A$3</xm:f>
          </x14:formula1>
          <xm:sqref>J8:J1048576</xm:sqref>
        </x14:dataValidation>
        <x14:dataValidation type="list" allowBlank="1" showInputMessage="1" showErrorMessage="1" xr:uid="{D1D09C13-EF0A-4EC4-8778-D6FBAFF01C70}">
          <x14:formula1>
            <xm:f>Reference_Lists!$C$1:$C$7</xm:f>
          </x14:formula1>
          <xm:sqref>M8:M1048576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67C49-E743-4890-BF36-C5995343BACC}">
  <dimension ref="A1:G59"/>
  <sheetViews>
    <sheetView tabSelected="1" workbookViewId="0">
      <selection activeCell="F3" sqref="F3"/>
    </sheetView>
  </sheetViews>
  <sheetFormatPr defaultRowHeight="15" x14ac:dyDescent="0.25"/>
  <cols>
    <col min="1" max="1" width="24.140625" bestFit="1" customWidth="1"/>
    <col min="2" max="2" width="15.5703125" customWidth="1"/>
    <col min="3" max="4" width="24.42578125" bestFit="1" customWidth="1"/>
    <col min="5" max="5" width="33" bestFit="1" customWidth="1"/>
    <col min="6" max="6" width="15.42578125" bestFit="1" customWidth="1"/>
    <col min="7" max="7" width="10.140625" bestFit="1" customWidth="1"/>
  </cols>
  <sheetData>
    <row r="1" spans="1:5" ht="15.75" x14ac:dyDescent="0.25">
      <c r="A1" s="4" t="s">
        <v>41</v>
      </c>
      <c r="B1" s="4"/>
      <c r="C1" s="4"/>
      <c r="D1" s="4"/>
      <c r="E1" s="4"/>
    </row>
    <row r="3" spans="1:5" s="1" customFormat="1" x14ac:dyDescent="0.25">
      <c r="A3" s="5" t="s">
        <v>42</v>
      </c>
      <c r="B3" s="5" t="s">
        <v>43</v>
      </c>
      <c r="C3" s="5" t="s">
        <v>44</v>
      </c>
      <c r="D3" s="5" t="s">
        <v>45</v>
      </c>
      <c r="E3" s="5" t="s">
        <v>46</v>
      </c>
    </row>
    <row r="4" spans="1:5" x14ac:dyDescent="0.25">
      <c r="A4" t="s">
        <v>47</v>
      </c>
      <c r="B4">
        <v>30</v>
      </c>
      <c r="C4" t="s">
        <v>48</v>
      </c>
      <c r="D4" t="s">
        <v>49</v>
      </c>
      <c r="E4" t="s">
        <v>50</v>
      </c>
    </row>
    <row r="5" spans="1:5" x14ac:dyDescent="0.25">
      <c r="A5" t="s">
        <v>51</v>
      </c>
      <c r="B5">
        <v>30</v>
      </c>
      <c r="C5" t="s">
        <v>54</v>
      </c>
      <c r="D5" t="s">
        <v>49</v>
      </c>
      <c r="E5" t="s">
        <v>57</v>
      </c>
    </row>
    <row r="6" spans="1:5" x14ac:dyDescent="0.25">
      <c r="A6" t="s">
        <v>52</v>
      </c>
      <c r="B6">
        <v>25</v>
      </c>
      <c r="C6" t="s">
        <v>55</v>
      </c>
      <c r="D6" t="s">
        <v>49</v>
      </c>
      <c r="E6" t="s">
        <v>58</v>
      </c>
    </row>
    <row r="7" spans="1:5" x14ac:dyDescent="0.25">
      <c r="A7" t="s">
        <v>53</v>
      </c>
      <c r="B7">
        <v>15</v>
      </c>
      <c r="C7" t="s">
        <v>56</v>
      </c>
      <c r="D7" t="s">
        <v>49</v>
      </c>
      <c r="E7" t="s">
        <v>59</v>
      </c>
    </row>
    <row r="10" spans="1:5" ht="15.75" x14ac:dyDescent="0.25">
      <c r="A10" s="3" t="s">
        <v>65</v>
      </c>
      <c r="B10" s="3"/>
      <c r="C10" s="3"/>
    </row>
    <row r="11" spans="1:5" x14ac:dyDescent="0.25">
      <c r="A11" s="2" t="s">
        <v>60</v>
      </c>
      <c r="B11" s="2"/>
      <c r="C11" s="2"/>
      <c r="D11" s="2"/>
    </row>
    <row r="12" spans="1:5" x14ac:dyDescent="0.25">
      <c r="A12" s="2" t="s">
        <v>61</v>
      </c>
      <c r="B12" s="2"/>
      <c r="C12" s="2"/>
      <c r="D12" s="2"/>
    </row>
    <row r="13" spans="1:5" x14ac:dyDescent="0.25">
      <c r="A13" s="2" t="s">
        <v>62</v>
      </c>
      <c r="B13" s="2"/>
      <c r="C13" s="2"/>
      <c r="D13" s="2"/>
    </row>
    <row r="14" spans="1:5" x14ac:dyDescent="0.25">
      <c r="A14" s="2" t="s">
        <v>63</v>
      </c>
      <c r="B14" s="2"/>
      <c r="C14" s="2"/>
      <c r="D14" s="2"/>
    </row>
    <row r="15" spans="1:5" x14ac:dyDescent="0.25">
      <c r="A15" s="2" t="s">
        <v>64</v>
      </c>
      <c r="B15" s="2"/>
      <c r="C15" s="2"/>
      <c r="D15" s="2"/>
    </row>
    <row r="17" spans="1:7" ht="15.75" x14ac:dyDescent="0.25">
      <c r="A17" s="3" t="s">
        <v>66</v>
      </c>
      <c r="B17" s="3"/>
    </row>
    <row r="18" spans="1:7" x14ac:dyDescent="0.25">
      <c r="A18" s="1" t="s">
        <v>67</v>
      </c>
      <c r="B18" s="1" t="s">
        <v>68</v>
      </c>
      <c r="C18" s="1" t="s">
        <v>69</v>
      </c>
      <c r="D18" s="1" t="s">
        <v>70</v>
      </c>
      <c r="E18" s="1" t="s">
        <v>71</v>
      </c>
      <c r="F18" s="1" t="s">
        <v>72</v>
      </c>
      <c r="G18" s="1" t="s">
        <v>73</v>
      </c>
    </row>
    <row r="19" spans="1:7" x14ac:dyDescent="0.25">
      <c r="A19" t="s">
        <v>74</v>
      </c>
      <c r="B19">
        <v>5</v>
      </c>
      <c r="C19">
        <v>5</v>
      </c>
      <c r="D19">
        <v>5</v>
      </c>
      <c r="E19">
        <v>4</v>
      </c>
      <c r="F19">
        <f>B19*0.3+C19*0.3+D19*0.25+E19*0.15</f>
        <v>4.8499999999999996</v>
      </c>
      <c r="G19" t="str">
        <f>IF(F19&gt;=4.5,"CRITICAL",IF(F19&gt;=3.5,"HIGH",IF(F19&gt;=2.5,"MEDIUM",IF(F19&gt;=1.5,"LOW","MINIMAL"))))</f>
        <v>CRITICAL</v>
      </c>
    </row>
    <row r="20" spans="1:7" x14ac:dyDescent="0.25">
      <c r="A20" t="s">
        <v>75</v>
      </c>
      <c r="B20">
        <v>5</v>
      </c>
      <c r="C20">
        <v>3</v>
      </c>
      <c r="D20">
        <v>4</v>
      </c>
      <c r="E20">
        <v>3</v>
      </c>
      <c r="F20">
        <f>B20*0.3+C20*0.3+D20*0.25+E20*0.15</f>
        <v>3.8499999999999996</v>
      </c>
      <c r="G20" t="str">
        <f>IF(F20&gt;=4.5,"CRITICAL",IF(F20&gt;=3.5,"HIGH",IF(F20&gt;=2.5,"MEDIUM",IF(F20&gt;=1.5,"LOW","MINIMAL"))))</f>
        <v>HIGH</v>
      </c>
    </row>
    <row r="21" spans="1:7" x14ac:dyDescent="0.25">
      <c r="A21" t="s">
        <v>76</v>
      </c>
      <c r="B21">
        <v>3</v>
      </c>
      <c r="C21">
        <v>2</v>
      </c>
      <c r="D21">
        <v>1</v>
      </c>
      <c r="E21">
        <v>2</v>
      </c>
      <c r="F21">
        <f>B21*0.3+C21*0.3+D21*0.25+E21*0.15</f>
        <v>2.0499999999999998</v>
      </c>
      <c r="G21" t="str">
        <f>IF(F21&gt;=4.5,"CRITICAL",IF(F21&gt;=3.5,"HIGH",IF(F21&gt;=2.5,"MEDIUM",IF(F21&gt;=1.5,"LOW","MINIMAL"))))</f>
        <v>LOW</v>
      </c>
    </row>
    <row r="22" spans="1:7" x14ac:dyDescent="0.25">
      <c r="A22" t="s">
        <v>77</v>
      </c>
      <c r="B22">
        <v>1</v>
      </c>
      <c r="C22">
        <v>1</v>
      </c>
      <c r="D22">
        <v>1</v>
      </c>
      <c r="E22">
        <v>1</v>
      </c>
      <c r="F22">
        <f>B22*0.3+C22*0.3+D22*0.25+E22*0.15</f>
        <v>1</v>
      </c>
      <c r="G22" t="str">
        <f>IF(F22&gt;=4.5,"CRITICAL",IF(F22&gt;=3.5,"HIGH",IF(F22&gt;=2.5,"MEDIUM",IF(F22&gt;=1.5,"LOW","MINIMAL"))))</f>
        <v>MINIMAL</v>
      </c>
    </row>
    <row r="24" spans="1:7" x14ac:dyDescent="0.25">
      <c r="A24" s="1" t="s">
        <v>78</v>
      </c>
    </row>
    <row r="25" spans="1:7" x14ac:dyDescent="0.25">
      <c r="A25" t="s">
        <v>79</v>
      </c>
      <c r="B25" s="2" t="s">
        <v>80</v>
      </c>
      <c r="C25" s="2"/>
      <c r="D25" s="2"/>
    </row>
    <row r="26" spans="1:7" x14ac:dyDescent="0.25">
      <c r="A26" t="s">
        <v>81</v>
      </c>
      <c r="B26" t="s">
        <v>85</v>
      </c>
    </row>
    <row r="27" spans="1:7" x14ac:dyDescent="0.25">
      <c r="A27" t="s">
        <v>82</v>
      </c>
      <c r="B27" t="s">
        <v>86</v>
      </c>
    </row>
    <row r="28" spans="1:7" x14ac:dyDescent="0.25">
      <c r="A28" t="s">
        <v>83</v>
      </c>
      <c r="B28" t="s">
        <v>87</v>
      </c>
    </row>
    <row r="29" spans="1:7" x14ac:dyDescent="0.25">
      <c r="A29" t="s">
        <v>84</v>
      </c>
      <c r="B29" t="s">
        <v>88</v>
      </c>
    </row>
    <row r="32" spans="1:7" x14ac:dyDescent="0.25">
      <c r="A32" s="1" t="s">
        <v>95</v>
      </c>
    </row>
    <row r="33" spans="1:4" x14ac:dyDescent="0.25">
      <c r="A33" t="s">
        <v>96</v>
      </c>
    </row>
    <row r="34" spans="1:4" x14ac:dyDescent="0.25">
      <c r="A34" t="s">
        <v>97</v>
      </c>
      <c r="B34" t="str">
        <f>Database_Inventory!A9</f>
        <v>dbo</v>
      </c>
      <c r="C34" t="s">
        <v>98</v>
      </c>
      <c r="D34">
        <f>IF(Database_Inventory!R9="5 - Critical",5,IF(Database_Inventory!R9="4 - High",4,IF(Database_Inventory!R9="3 - Medium",3,IF(Database_Inventory!R9="2 - Low",2,1))))</f>
        <v>1</v>
      </c>
    </row>
    <row r="42" spans="1:4" x14ac:dyDescent="0.25">
      <c r="A42" s="1" t="s">
        <v>99</v>
      </c>
    </row>
    <row r="43" spans="1:4" x14ac:dyDescent="0.25">
      <c r="A43" t="s">
        <v>100</v>
      </c>
      <c r="B43">
        <f>COUNTA(A19:A22)</f>
        <v>4</v>
      </c>
    </row>
    <row r="44" spans="1:4" x14ac:dyDescent="0.25">
      <c r="A44" t="s">
        <v>101</v>
      </c>
      <c r="B44">
        <f>COUNTIF(G19:G22,"CRITICAL")</f>
        <v>1</v>
      </c>
    </row>
    <row r="45" spans="1:4" x14ac:dyDescent="0.25">
      <c r="A45" t="s">
        <v>102</v>
      </c>
      <c r="B45">
        <f>COUNTIF(G19:G22,"HIGH")</f>
        <v>1</v>
      </c>
    </row>
    <row r="46" spans="1:4" x14ac:dyDescent="0.25">
      <c r="A46" t="s">
        <v>103</v>
      </c>
      <c r="B46">
        <f>AVERAGE(F19:F22)</f>
        <v>2.9375</v>
      </c>
    </row>
    <row r="47" spans="1:4" x14ac:dyDescent="0.25">
      <c r="A47" t="s">
        <v>104</v>
      </c>
      <c r="B47" t="str">
        <f>INDEX(A19:A22,MATCH(MAX(F19:F22),F19:F22,0))</f>
        <v>Person.Person</v>
      </c>
    </row>
    <row r="52" spans="1:1" ht="24" x14ac:dyDescent="0.25">
      <c r="A52" s="6" t="s">
        <v>89</v>
      </c>
    </row>
    <row r="53" spans="1:1" x14ac:dyDescent="0.25">
      <c r="A53" s="7"/>
    </row>
    <row r="54" spans="1:1" x14ac:dyDescent="0.25">
      <c r="A54" s="8" t="s">
        <v>90</v>
      </c>
    </row>
    <row r="55" spans="1:1" x14ac:dyDescent="0.25">
      <c r="A55" s="8" t="s">
        <v>91</v>
      </c>
    </row>
    <row r="56" spans="1:1" x14ac:dyDescent="0.25">
      <c r="A56" s="8" t="s">
        <v>92</v>
      </c>
    </row>
    <row r="57" spans="1:1" x14ac:dyDescent="0.25">
      <c r="A57" s="8" t="s">
        <v>93</v>
      </c>
    </row>
    <row r="59" spans="1:1" x14ac:dyDescent="0.25">
      <c r="A59" t="s">
        <v>94</v>
      </c>
    </row>
  </sheetData>
  <mergeCells count="9">
    <mergeCell ref="B25:D25"/>
    <mergeCell ref="A1:E1"/>
    <mergeCell ref="A17:B17"/>
    <mergeCell ref="A10:C10"/>
    <mergeCell ref="A11:D11"/>
    <mergeCell ref="A12:D12"/>
    <mergeCell ref="A13:D13"/>
    <mergeCell ref="A14:D14"/>
    <mergeCell ref="A15:D15"/>
  </mergeCells>
  <conditionalFormatting sqref="G19:G22">
    <cfRule type="containsText" dxfId="4" priority="1" operator="containsText" text="MINIMAL">
      <formula>NOT(ISERROR(SEARCH("MINIMAL",G19)))</formula>
    </cfRule>
    <cfRule type="containsText" dxfId="3" priority="2" operator="containsText" text="LOW">
      <formula>NOT(ISERROR(SEARCH("LOW",G19)))</formula>
    </cfRule>
    <cfRule type="containsText" dxfId="2" priority="3" operator="containsText" text="HIGH">
      <formula>NOT(ISERROR(SEARCH("HIGH",G19)))</formula>
    </cfRule>
    <cfRule type="containsText" dxfId="1" priority="4" operator="containsText" text="CRITICAL">
      <formula>NOT(ISERROR(SEARCH("CRITICAL",G19)))</formula>
    </cfRule>
    <cfRule type="containsText" dxfId="0" priority="5" operator="containsText" text="MEDIUM">
      <formula>NOT(ISERROR(SEARCH("MEDIUM",G19)))</formula>
    </cfRule>
  </conditionalFormatting>
  <dataValidations count="1">
    <dataValidation type="whole" allowBlank="1" showInputMessage="1" showErrorMessage="1" errorTitle="Invalid Score" error="Please enter a number between 1 and 5" promptTitle="Risk Score" prompt="Enter a score from 1 (minimal) to 5 (critical)" sqref="B19:E22" xr:uid="{1ABD5124-4244-40FB-BFB2-924240118666}">
      <formula1>1</formula1>
      <formula2>5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61301-D999-4829-AE40-6D94C79FBDD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C8C07-231F-49E0-809F-E617B08B793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32EAD-8F13-42EE-BDDE-69509F833DD4}">
  <dimension ref="A1:D10"/>
  <sheetViews>
    <sheetView workbookViewId="0">
      <selection activeCell="D10" sqref="D10"/>
    </sheetView>
  </sheetViews>
  <sheetFormatPr defaultRowHeight="15" x14ac:dyDescent="0.25"/>
  <cols>
    <col min="1" max="1" width="15.7109375" bestFit="1" customWidth="1"/>
    <col min="2" max="2" width="10.5703125" bestFit="1" customWidth="1"/>
    <col min="3" max="3" width="17.85546875" bestFit="1" customWidth="1"/>
    <col min="4" max="4" width="17.42578125" bestFit="1" customWidth="1"/>
  </cols>
  <sheetData>
    <row r="1" spans="1:4" s="1" customFormat="1" x14ac:dyDescent="0.25">
      <c r="A1" s="1" t="s">
        <v>19</v>
      </c>
      <c r="B1" s="1" t="s">
        <v>23</v>
      </c>
      <c r="C1" s="1" t="s">
        <v>24</v>
      </c>
      <c r="D1" s="1" t="s">
        <v>31</v>
      </c>
    </row>
    <row r="2" spans="1:4" x14ac:dyDescent="0.25">
      <c r="A2" t="s">
        <v>20</v>
      </c>
      <c r="B2">
        <v>1</v>
      </c>
      <c r="C2" t="s">
        <v>25</v>
      </c>
      <c r="D2" t="s">
        <v>32</v>
      </c>
    </row>
    <row r="3" spans="1:4" x14ac:dyDescent="0.25">
      <c r="A3" t="s">
        <v>21</v>
      </c>
      <c r="B3">
        <v>2</v>
      </c>
      <c r="C3" t="s">
        <v>26</v>
      </c>
      <c r="D3" t="s">
        <v>33</v>
      </c>
    </row>
    <row r="4" spans="1:4" x14ac:dyDescent="0.25">
      <c r="A4" t="s">
        <v>22</v>
      </c>
      <c r="B4">
        <v>3</v>
      </c>
      <c r="C4" t="s">
        <v>27</v>
      </c>
      <c r="D4" t="s">
        <v>34</v>
      </c>
    </row>
    <row r="5" spans="1:4" x14ac:dyDescent="0.25">
      <c r="B5">
        <v>4</v>
      </c>
      <c r="C5" t="s">
        <v>28</v>
      </c>
      <c r="D5" t="s">
        <v>35</v>
      </c>
    </row>
    <row r="6" spans="1:4" x14ac:dyDescent="0.25">
      <c r="B6">
        <v>5</v>
      </c>
      <c r="C6" t="s">
        <v>29</v>
      </c>
      <c r="D6" t="s">
        <v>36</v>
      </c>
    </row>
    <row r="7" spans="1:4" x14ac:dyDescent="0.25">
      <c r="C7" t="s">
        <v>30</v>
      </c>
      <c r="D7" t="s">
        <v>37</v>
      </c>
    </row>
    <row r="8" spans="1:4" x14ac:dyDescent="0.25">
      <c r="D8" t="s">
        <v>38</v>
      </c>
    </row>
    <row r="9" spans="1:4" x14ac:dyDescent="0.25">
      <c r="D9" t="s">
        <v>39</v>
      </c>
    </row>
    <row r="10" spans="1:4" x14ac:dyDescent="0.25">
      <c r="D10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Sheet6</vt:lpstr>
      <vt:lpstr>Database_Inventory</vt:lpstr>
      <vt:lpstr>Risk_Assessment</vt:lpstr>
      <vt:lpstr>Business_Context</vt:lpstr>
      <vt:lpstr>Compliance_Matrix</vt:lpstr>
      <vt:lpstr>Reference_Lists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O'Reilly</dc:creator>
  <cp:lastModifiedBy>James O'Reilly</cp:lastModifiedBy>
  <dcterms:created xsi:type="dcterms:W3CDTF">2025-07-29T09:50:43Z</dcterms:created>
  <dcterms:modified xsi:type="dcterms:W3CDTF">2025-07-29T17:18:10Z</dcterms:modified>
</cp:coreProperties>
</file>